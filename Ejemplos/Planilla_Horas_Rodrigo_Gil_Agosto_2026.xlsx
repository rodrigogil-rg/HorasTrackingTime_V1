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91550a13f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general" sheetId="1" r:id="R9e768ed65f204abb"/>
    <x:sheet xmlns:r="http://schemas.openxmlformats.org/officeDocument/2006/relationships" name="Cirion" sheetId="2" r:id="R3d82ed40f45d4aac"/>
    <x:sheet xmlns:r="http://schemas.openxmlformats.org/officeDocument/2006/relationships" name="Mirgor" sheetId="3" r:id="R3f2bae15fb14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dd/mm/yyyy"/>
    <x:numFmt numFmtId="202" formatCode="[h]:mm"/>
    <x:numFmt numFmtId="203" formatCode="h:mm AM/PM"/>
    <x:numFmt numFmtId="204" formatCode="0"/>
    <x:numFmt numFmtId="205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double">
        <x:color rgb="FF17365D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1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1" fontId="0" fillId="6" borderId="2" xfId="0" applyNumberFormat="1" applyFont="1" applyFill="1" applyBorder="1" applyAlignment="1">
      <x:alignment vertical="center"/>
    </x:xf>
    <x:xf numFmtId="201" fontId="0" fillId="6" borderId="3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/>
    </x:xf>
    <x:xf numFmtId="202" fontId="0" fillId="6" borderId="2" xfId="0" applyNumberFormat="1" applyFont="1" applyFill="1" applyBorder="1" applyAlignment="1">
      <x:alignment vertical="center"/>
    </x:xf>
    <x:xf numFmtId="202" fontId="0" fillId="6" borderId="3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0" fontId="0" fillId="6" borderId="2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/>
    </x:xf>
    <x:xf numFmtId="203" fontId="0" fillId="6" borderId="2" xfId="0" applyNumberFormat="1" applyFont="1" applyFill="1" applyBorder="1" applyAlignment="1">
      <x:alignment vertical="center"/>
    </x:xf>
    <x:xf numFmtId="203" fontId="0" fillId="6" borderId="3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202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203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200" fontId="0" fillId="6" borderId="1" xfId="0" applyNumberFormat="1" applyFont="1" applyFill="1" applyBorder="1"/>
    <x:xf numFmtId="200" fontId="0" fillId="6" borderId="3" xfId="0" applyNumberFormat="1" applyFont="1" applyFill="1" applyBorder="1"/>
    <x:xf numFmtId="200" fontId="2" fillId="4" borderId="4" xfId="0" applyNumberFormat="1" applyFont="1" applyFill="1" applyBorder="1"/>
    <x:xf numFmtId="204" fontId="0" fillId="6" borderId="1" xfId="0" applyNumberFormat="1" applyFont="1" applyFill="1" applyBorder="1"/>
    <x:xf numFmtId="204" fontId="0" fillId="6" borderId="3" xfId="0" applyNumberFormat="1" applyFont="1" applyFill="1" applyBorder="1"/>
    <x:xf numFmtId="205" fontId="0" fillId="6" borderId="1" xfId="0" applyNumberFormat="1" applyFont="1" applyFill="1" applyBorder="1"/>
    <x:xf numFmtId="205" fontId="0" fillId="6" borderId="3" xfId="0" applyNumberFormat="1" applyFont="1" applyFill="1" applyBorder="1"/>
    <x:xf numFmtId="205" fontId="2" fillId="4" borderId="4" xfId="0" applyNumberFormat="1" applyFont="1" applyFill="1" applyBorder="1"/>
    <x:xf numFmtId="200" fontId="2" fillId="4" borderId="0" xfId="0" applyNumberFormat="1" applyFont="1" applyFill="1" applyBorder="1"/>
    <x:xf numFmtId="205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4ea13d9bb4ca2" /><Relationship Type="http://schemas.openxmlformats.org/officeDocument/2006/relationships/theme" Target="/xl/theme/theme1.xml" Id="Rff55f190c5a04675" /><Relationship Type="http://schemas.openxmlformats.org/officeDocument/2006/relationships/sharedStrings" Target="/xl/sharedStrings.xml" Id="R8b4b1e2b732b41d1" /><Relationship Type="http://schemas.openxmlformats.org/officeDocument/2006/relationships/worksheet" Target="/xl/worksheets/sheet1.xml" Id="R9e768ed65f204abb" /><Relationship Type="http://schemas.openxmlformats.org/officeDocument/2006/relationships/worksheet" Target="/xl/worksheets/sheet2.xml" Id="R3d82ed40f45d4aac" /><Relationship Type="http://schemas.openxmlformats.org/officeDocument/2006/relationships/worksheet" Target="/xl/worksheets/sheet3.xml" Id="R3f2bae15fb144d80" /></Relationships>
</file>

<file path=xl/tables/table1.xml><?xml version="1.0" encoding="utf-8"?>
<x:table xmlns:x="http://schemas.openxmlformats.org/spreadsheetml/2006/main" id="3" name="ResumenClientes" displayName="ResumenClientes" ref="A3:E5" headerRowCount="1" totalsRowCount="0" totalsRowShown="0">
  <x:tableColumns count="5">
    <x:tableColumn id="1" name="Cliente"/>
    <x:tableColumn id="2" name="Horas totales"/>
    <x:tableColumn id="3" name="Registros"/>
    <x:tableColumn id="4" name="Días trabajados"/>
    <x:tableColumn id="5" name="% del 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HorasCirion" displayName="HorasCirion" ref="A3:K25" headerRowCount="1" totalsRowCount="0" totalsRowShown="0">
  <x:tableColumns count="11">
    <x:tableColumn id="1" name="Usuario"/>
    <x:tableColumn id="2" name="Proyecto"/>
    <x:tableColumn id="3" name="Tarea"/>
    <x:tableColumn id="4" name="Cliente"/>
    <x:tableColumn id="5" name="Servicio"/>
    <x:tableColumn id="6" name="Notas"/>
    <x:tableColumn id="7" name="Fecha"/>
    <x:tableColumn id="8" name="Duración"/>
    <x:tableColumn id="9" name="Horas"/>
    <x:tableColumn id="10" name="Desde"/>
    <x:tableColumn id="11" name="Has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orasMirgor" displayName="HorasMirgor" ref="A3:K4" headerRowCount="1" totalsRowCount="0" totalsRowShown="0">
  <x:tableColumns count="11">
    <x:tableColumn id="1" name="Usuario"/>
    <x:tableColumn id="2" name="Proyecto"/>
    <x:tableColumn id="3" name="Tarea"/>
    <x:tableColumn id="4" name="Cliente"/>
    <x:tableColumn id="5" name="Servicio"/>
    <x:tableColumn id="6" name="Notas"/>
    <x:tableColumn id="7" name="Fecha"/>
    <x:tableColumn id="8" name="Duración"/>
    <x:tableColumn id="9" name="Horas"/>
    <x:tableColumn id="10" name="Desde"/>
    <x:tableColumn id="11" name="Ha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470a8057749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7f617fa03740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c782f8c09d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6" t="str">
        <x:v>Resumen general de horas - Rodrigo Gil - Agosto 2026</x:v>
      </x:c>
      <x:c r="B1" s="46"/>
      <x:c r="C1" s="46"/>
      <x:c r="D1" s="46"/>
      <x:c r="E1" s="46"/>
    </x:row>
    <x:row r="3">
      <x:c r="A3" s="14" t="str">
        <x:v>Cliente</x:v>
      </x:c>
      <x:c r="B3" s="14" t="str">
        <x:v>Horas totales</x:v>
      </x:c>
      <x:c r="C3" s="14" t="str">
        <x:v>Registros</x:v>
      </x:c>
      <x:c r="D3" s="14" t="str">
        <x:v>Días trabajados</x:v>
      </x:c>
      <x:c r="E3" s="14" t="str">
        <x:v>% del total</x:v>
      </x:c>
    </x:row>
    <x:row r="4">
      <x:c r="A4" s="17" t="str">
        <x:v>Cirion</x:v>
      </x:c>
      <x:c r="B4" s="50" t="n">
        <x:f>'Cirion'!K2</x:f>
        <x:v>34</x:v>
      </x:c>
      <x:c r="C4" s="53" t="n">
        <x:f>ROWS('Cirion'!A4:A25)</x:f>
        <x:v>22</x:v>
      </x:c>
      <x:c r="D4" s="53" t="n">
        <x:f>COUNTA(_xlfn.UNIQUE('Cirion'!G4:G25))</x:f>
        <x:v>9</x:v>
      </x:c>
      <x:c r="E4" s="55" t="n">
        <x:f>B4/$B$6</x:f>
        <x:v>0.9714285714285714</x:v>
      </x:c>
    </x:row>
    <x:row r="5">
      <x:c r="A5" s="19" t="str">
        <x:v>Mirgor</x:v>
      </x:c>
      <x:c r="B5" s="51" t="n">
        <x:f>'Mirgor'!K2</x:f>
        <x:v>1</x:v>
      </x:c>
      <x:c r="C5" s="54" t="n">
        <x:f>ROWS('Mirgor'!A4:A4)</x:f>
        <x:v>1</x:v>
      </x:c>
      <x:c r="D5" s="54" t="n">
        <x:f>COUNTA(_xlfn.UNIQUE('Mirgor'!G4:G4))</x:f>
        <x:v>1</x:v>
      </x:c>
      <x:c r="E5" s="56" t="n">
        <x:f>B5/$B$6</x:f>
        <x:v>0.02857142857142857</x:v>
      </x:c>
    </x:row>
    <x:row r="6">
      <x:c r="A6" s="48" t="str">
        <x:v>TOTAL GENERAL</x:v>
      </x:c>
      <x:c r="B6" s="58" t="n">
        <x:f>SUM(B4:B5)</x:f>
        <x:v>35</x:v>
      </x:c>
      <x:c r="C6" s="48" t="n">
        <x:f>SUM(C4:C5)</x:f>
        <x:v>23</x:v>
      </x:c>
      <x:c r="D6" s="48"/>
      <x:c r="E6" s="59" t="n">
        <x:f>SUM(E4:E5)</x:f>
        <x:v>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2470a8057749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52" hidden="0" customWidth="1"/>
    <x:col min="4" max="4" width="15" hidden="0" customWidth="1"/>
    <x:col min="5" max="5" width="15" hidden="0" customWidth="1"/>
    <x:col min="6" max="6" width="4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8" customHeight="1">
      <x:c r="A1" s="4" t="str">
        <x:v>Horas de Rodrigo Gil - Cirion - Agosto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Detalle de horas informadas por cliente</x:v>
      </x:c>
      <x:c r="B2" s="7"/>
      <x:c r="C2" s="7"/>
      <x:c r="D2" s="7"/>
      <x:c r="E2" s="7"/>
      <x:c r="F2" s="7"/>
      <x:c r="G2" s="7"/>
      <x:c r="H2" s="7"/>
      <x:c r="I2" s="7" t="str">
        <x:v>Total de horas</x:v>
      </x:c>
      <x:c r="J2" s="7"/>
      <x:c r="K2" s="10" t="n">
        <x:f>SUM(I4:I25)</x:f>
        <x:v>34</x:v>
      </x:c>
    </x:row>
    <x:row r="3">
      <x:c r="A3" s="15" t="str">
        <x:v>Usuario</x:v>
      </x:c>
      <x:c r="B3" s="15" t="str">
        <x:v>Proyecto</x:v>
      </x:c>
      <x:c r="C3" s="15" t="str">
        <x:v>Tarea</x:v>
      </x:c>
      <x:c r="D3" s="15" t="str">
        <x:v>Cliente</x:v>
      </x:c>
      <x:c r="E3" s="15" t="str">
        <x:v>Servicio</x:v>
      </x:c>
      <x:c r="F3" s="15" t="str">
        <x:v>Notas</x:v>
      </x:c>
      <x:c r="G3" s="15" t="str">
        <x:v>Fecha</x:v>
      </x:c>
      <x:c r="H3" s="15" t="str">
        <x:v>Duración</x:v>
      </x:c>
      <x:c r="I3" s="15" t="str">
        <x:v>Horas</x:v>
      </x:c>
      <x:c r="J3" s="15" t="str">
        <x:v>Desde</x:v>
      </x:c>
      <x:c r="K3" s="15" t="str">
        <x:v>Hasta</x:v>
      </x:c>
    </x:row>
    <x:row r="4" ht="56.400001525878906" hidden="0" customHeight="1">
      <x:c r="A4" s="20" t="str">
        <x:v>Rodrigo Gil</x:v>
      </x:c>
      <x:c r="B4" s="20" t="str">
        <x:v>Cirion</x:v>
      </x:c>
      <x:c r="C4" s="35" t="str">
        <x:v>CENT-1243 Monitoreo diario y temas a empujar (30')</x:v>
      </x:c>
      <x:c r="D4" s="20" t="str">
        <x:v>Cirion</x:v>
      </x:c>
      <x:c r="E4" s="20"/>
      <x:c r="F4" s="35" t="str">
        <x:v>Revisando los emails pendientes y mandado emails a los especialistas para ver si se pueden solucionar ciertos errores que ocurrieron en el Solman
</x:v>
      </x:c>
      <x:c r="G4" s="23" t="n">
        <x:v>46237</x:v>
      </x:c>
      <x:c r="H4" s="26" t="n">
        <x:v>0.041666666666666664</x:v>
      </x:c>
      <x:c r="I4" s="29" t="n">
        <x:v>1</x:v>
      </x:c>
      <x:c r="J4" s="32" t="n">
        <x:v>0.4583333333333333</x:v>
      </x:c>
      <x:c r="K4" s="32" t="n">
        <x:v>0.5</x:v>
      </x:c>
    </x:row>
    <x:row r="5" ht="15" hidden="0" customHeight="1">
      <x:c r="A5" s="21" t="str">
        <x:v>Rodrigo Gil</x:v>
      </x:c>
      <x:c r="B5" s="21" t="str">
        <x:v>Cirion</x:v>
      </x:c>
      <x:c r="C5" s="36" t="str">
        <x:v>CENT-1004 Revisón de Errores técnicos</x:v>
      </x:c>
      <x:c r="D5" s="21" t="str">
        <x:v>Cirion</x:v>
      </x:c>
      <x:c r="E5" s="21"/>
      <x:c r="F5" s="36" t="str">
        <x:v>Revision de status y temas varios</x:v>
      </x:c>
      <x:c r="G5" s="24" t="n">
        <x:v>46244</x:v>
      </x:c>
      <x:c r="H5" s="27" t="n">
        <x:v>0.0625</x:v>
      </x:c>
      <x:c r="I5" s="30" t="n">
        <x:v>1.5</x:v>
      </x:c>
      <x:c r="J5" s="33" t="n">
        <x:v>0.6875</x:v>
      </x:c>
      <x:c r="K5" s="33" t="n">
        <x:v>0.75</x:v>
      </x:c>
    </x:row>
    <x:row r="6" ht="26.399999618530273" hidden="0" customHeight="1">
      <x:c r="A6" s="21" t="str">
        <x:v>Rodrigo Gil</x:v>
      </x:c>
      <x:c r="B6" s="21" t="str">
        <x:v>Cirion</x:v>
      </x:c>
      <x:c r="C6" s="36" t="str">
        <x:v>CENT-1268 BCK Nuevo chequeo "Duración del backup"</x:v>
      </x:c>
      <x:c r="D6" s="21" t="str">
        <x:v>Cirion</x:v>
      </x:c>
      <x:c r="E6" s="21"/>
      <x:c r="F6" s="36" t="str">
        <x:v>Reunion con Fer sobre el como hacer los querys en el DBeaver para la duración del backup</x:v>
      </x:c>
      <x:c r="G6" s="24" t="n">
        <x:v>46245</x:v>
      </x:c>
      <x:c r="H6" s="27" t="n">
        <x:v>0.041666666666666664</x:v>
      </x:c>
      <x:c r="I6" s="30" t="n">
        <x:v>1</x:v>
      </x:c>
      <x:c r="J6" s="33" t="n">
        <x:v>0.3958333333333333</x:v>
      </x:c>
      <x:c r="K6" s="33" t="n">
        <x:v>0.4375</x:v>
      </x:c>
    </x:row>
    <x:row r="7" ht="26.399999618530273" hidden="0" customHeight="1">
      <x:c r="A7" s="21" t="str">
        <x:v>Rodrigo Gil</x:v>
      </x:c>
      <x:c r="B7" s="21" t="str">
        <x:v>Cirion</x:v>
      </x:c>
      <x:c r="C7" s="36" t="str">
        <x:v>CENT-1268 BCK Nuevo chequeo "Duración del backup"</x:v>
      </x:c>
      <x:c r="D7" s="21" t="str">
        <x:v>Cirion</x:v>
      </x:c>
      <x:c r="E7" s="21"/>
      <x:c r="F7" s="36" t="str">
        <x:v>Revisar los detalles del query creado y ver si funciona correctamente para el backup</x:v>
      </x:c>
      <x:c r="G7" s="24" t="n">
        <x:v>46245</x:v>
      </x:c>
      <x:c r="H7" s="27" t="n">
        <x:v>0.08333333333333333</x:v>
      </x:c>
      <x:c r="I7" s="30" t="n">
        <x:v>2</x:v>
      </x:c>
      <x:c r="J7" s="33" t="n">
        <x:v>0.4375</x:v>
      </x:c>
      <x:c r="K7" s="33" t="n">
        <x:v>0.5208333333333334</x:v>
      </x:c>
    </x:row>
    <x:row r="8" ht="26.399999618530273" hidden="0" customHeight="1">
      <x:c r="A8" s="21" t="str">
        <x:v>Rodrigo Gil</x:v>
      </x:c>
      <x:c r="B8" s="21" t="str">
        <x:v>Cirion</x:v>
      </x:c>
      <x:c r="C8" s="36" t="str">
        <x:v>CENT-1295 SEG DB Investigar casos "Error al procesar el Sistema" y el caso que salió en gris</x:v>
      </x:c>
      <x:c r="D8" s="21" t="str">
        <x:v>Cirion</x:v>
      </x:c>
      <x:c r="E8" s="21"/>
      <x:c r="F8" s="36" t="str">
        <x:v>Reunion con Fer, Gus y Rodri Gutierrez revisando varios temas </x:v>
      </x:c>
      <x:c r="G8" s="24" t="n">
        <x:v>46246</x:v>
      </x:c>
      <x:c r="H8" s="27" t="n">
        <x:v>0.0625</x:v>
      </x:c>
      <x:c r="I8" s="30" t="n">
        <x:v>1.5</x:v>
      </x:c>
      <x:c r="J8" s="33" t="n">
        <x:v>0.3958333333333333</x:v>
      </x:c>
      <x:c r="K8" s="33" t="n">
        <x:v>0.4583333333333333</x:v>
      </x:c>
    </x:row>
    <x:row r="9" ht="26.399999618530273" hidden="0" customHeight="1">
      <x:c r="A9" s="21" t="str">
        <x:v>Rodrigo Gil</x:v>
      </x:c>
      <x:c r="B9" s="21" t="str">
        <x:v>Cirion</x:v>
      </x:c>
      <x:c r="C9" s="36" t="str">
        <x:v>CENT-1295 SEG DB Investigar casos "Error al procesar el Sistema" y el caso que salió en gris</x:v>
      </x:c>
      <x:c r="D9" s="21" t="str">
        <x:v>Cirion</x:v>
      </x:c>
      <x:c r="E9" s="21"/>
      <x:c r="F9" s="36" t="str">
        <x:v>Revisando la nueva tarea que me encargo Fer y revisar a fondo para rellenar los datos que me piden en el documento interno</x:v>
      </x:c>
      <x:c r="G9" s="24" t="n">
        <x:v>46246</x:v>
      </x:c>
      <x:c r="H9" s="27" t="n">
        <x:v>0.08333333333333333</x:v>
      </x:c>
      <x:c r="I9" s="30" t="n">
        <x:v>2</x:v>
      </x:c>
      <x:c r="J9" s="33" t="n">
        <x:v>0.5416666666666666</x:v>
      </x:c>
      <x:c r="K9" s="33" t="n">
        <x:v>0.625</x:v>
      </x:c>
    </x:row>
    <x:row r="10" ht="26.399999618530273" hidden="0" customHeight="1">
      <x:c r="A10" s="21" t="str">
        <x:v>Rodrigo Gil</x:v>
      </x:c>
      <x:c r="B10" s="21" t="str">
        <x:v>Cirion</x:v>
      </x:c>
      <x:c r="C10" s="36" t="str">
        <x:v>CENT-1295 SEG DB Investigar casos "Error al procesar el Sistema" y el caso que salió en gris</x:v>
      </x:c>
      <x:c r="D10" s="21" t="str">
        <x:v>Cirion</x:v>
      </x:c>
      <x:c r="E10" s="21"/>
      <x:c r="F10" s="36" t="str">
        <x:v>Revisando a ver que paso</x:v>
      </x:c>
      <x:c r="G10" s="24" t="n">
        <x:v>46246</x:v>
      </x:c>
      <x:c r="H10" s="27" t="n">
        <x:v>0.10416666666666667</x:v>
      </x:c>
      <x:c r="I10" s="30" t="n">
        <x:v>2.5</x:v>
      </x:c>
      <x:c r="J10" s="33" t="n">
        <x:v>0.6666666666666666</x:v>
      </x:c>
      <x:c r="K10" s="33" t="n">
        <x:v>0.7708333333333334</x:v>
      </x:c>
    </x:row>
    <x:row r="11" ht="26.399999618530273" hidden="0" customHeight="1">
      <x:c r="A11" s="21" t="str">
        <x:v>Rodrigo Gil</x:v>
      </x:c>
      <x:c r="B11" s="21" t="str">
        <x:v>Cirion</x:v>
      </x:c>
      <x:c r="C11" s="36" t="str">
        <x:v>CENT-1243 Monitoreo diario y temas a empujar (30')</x:v>
      </x:c>
      <x:c r="D11" s="21" t="str">
        <x:v>Cirion</x:v>
      </x:c>
      <x:c r="E11" s="21"/>
      <x:c r="F11" s="36" t="str">
        <x:v>Revisando emails para ver si paso algo mientras ocurrio el fin de semana largo</x:v>
      </x:c>
      <x:c r="G11" s="24" t="n">
        <x:v>46252</x:v>
      </x:c>
      <x:c r="H11" s="27" t="n">
        <x:v>0.020833333333333332</x:v>
      </x:c>
      <x:c r="I11" s="30" t="n">
        <x:v>0.5</x:v>
      </x:c>
      <x:c r="J11" s="33" t="n">
        <x:v>0.5</x:v>
      </x:c>
      <x:c r="K11" s="33" t="n">
        <x:v>0.5208333333333334</x:v>
      </x:c>
    </x:row>
    <x:row r="12" ht="15" hidden="0" customHeight="1">
      <x:c r="A12" s="21" t="str">
        <x:v>Rodrigo Gil</x:v>
      </x:c>
      <x:c r="B12" s="21" t="str">
        <x:v>Cirion</x:v>
      </x:c>
      <x:c r="C12" s="36" t="str">
        <x:v>CENT-37 Métrica nueva - Versión del kernel</x:v>
      </x:c>
      <x:c r="D12" s="21" t="str">
        <x:v>Cirion</x:v>
      </x:c>
      <x:c r="E12" s="21"/>
      <x:c r="F12" s="36" t="str">
        <x:v>Revisando las excepciones de los 4 Avas que llegan por email</x:v>
      </x:c>
      <x:c r="G12" s="24" t="n">
        <x:v>46252</x:v>
      </x:c>
      <x:c r="H12" s="27" t="n">
        <x:v>0.041666666666666664</x:v>
      </x:c>
      <x:c r="I12" s="30" t="n">
        <x:v>1</x:v>
      </x:c>
      <x:c r="J12" s="33" t="n">
        <x:v>0.5625</x:v>
      </x:c>
      <x:c r="K12" s="33" t="n">
        <x:v>0.6041666666666666</x:v>
      </x:c>
    </x:row>
    <x:row r="13" ht="39.599998474121094" hidden="0" customHeight="1">
      <x:c r="A13" s="21" t="str">
        <x:v>Rodrigo Gil</x:v>
      </x:c>
      <x:c r="B13" s="21" t="str">
        <x:v>Cirion</x:v>
      </x:c>
      <x:c r="C13" s="36" t="str">
        <x:v>CENT-1295 SEG DB Investigar casos "Error al procesar el Sistema" y el caso que salió en gris</x:v>
      </x:c>
      <x:c r="D13" s="21" t="str">
        <x:v>Cirion</x:v>
      </x:c>
      <x:c r="E13" s="21"/>
      <x:c r="F13" s="36" t="str">
        <x:v>Completando por completo el cuadro que se encuentra en el documento interno sobre los casos que aparezcan como error "Error al procesar el Sistema"</x:v>
      </x:c>
      <x:c r="G13" s="24" t="n">
        <x:v>46252</x:v>
      </x:c>
      <x:c r="H13" s="27" t="n">
        <x:v>0.0625</x:v>
      </x:c>
      <x:c r="I13" s="30" t="n">
        <x:v>1.5</x:v>
      </x:c>
      <x:c r="J13" s="33" t="n">
        <x:v>0.6041666666666666</x:v>
      </x:c>
      <x:c r="K13" s="33" t="n">
        <x:v>0.6666666666666666</x:v>
      </x:c>
    </x:row>
    <x:row r="14" ht="26.399999618530273" hidden="0" customHeight="1">
      <x:c r="A14" s="21" t="str">
        <x:v>Rodrigo Gil</x:v>
      </x:c>
      <x:c r="B14" s="21" t="str">
        <x:v>Cirion</x:v>
      </x:c>
      <x:c r="C14" s="36" t="str">
        <x:v>CENT-37 Métrica nueva - Versión del kernel</x:v>
      </x:c>
      <x:c r="D14" s="21" t="str">
        <x:v>Cirion</x:v>
      </x:c>
      <x:c r="E14" s="21"/>
      <x:c r="F14" s="36" t="str">
        <x:v>Siguiendo investigando del porque ocurre los errores que aparecen en el AVA</x:v>
      </x:c>
      <x:c r="G14" s="24" t="n">
        <x:v>46252</x:v>
      </x:c>
      <x:c r="H14" s="27" t="n">
        <x:v>0.0625</x:v>
      </x:c>
      <x:c r="I14" s="30" t="n">
        <x:v>1.5</x:v>
      </x:c>
      <x:c r="J14" s="33" t="n">
        <x:v>0.6666666666666666</x:v>
      </x:c>
      <x:c r="K14" s="33" t="n">
        <x:v>0.7291666666666666</x:v>
      </x:c>
    </x:row>
    <x:row r="15" ht="26.399999618530273" hidden="0" customHeight="1">
      <x:c r="A15" s="21" t="str">
        <x:v>Rodrigo Gil</x:v>
      </x:c>
      <x:c r="B15" s="21" t="str">
        <x:v>Cirion</x:v>
      </x:c>
      <x:c r="C15" s="36" t="str">
        <x:v>CENT-1268 BCK Nuevo chequeo "Duración del backup"</x:v>
      </x:c>
      <x:c r="D15" s="21" t="str">
        <x:v>Cirion</x:v>
      </x:c>
      <x:c r="E15" s="21"/>
      <x:c r="F15" s="36" t="str">
        <x:v>Viendo sobre cambiar de formato a los decimales para pasarlo a horas para los backups gracias a la IA</x:v>
      </x:c>
      <x:c r="G15" s="24" t="n">
        <x:v>46252</x:v>
      </x:c>
      <x:c r="H15" s="27" t="n">
        <x:v>0.0625</x:v>
      </x:c>
      <x:c r="I15" s="30" t="n">
        <x:v>1.5</x:v>
      </x:c>
      <x:c r="J15" s="33" t="n">
        <x:v>0.75</x:v>
      </x:c>
      <x:c r="K15" s="33" t="n">
        <x:v>0.8125</x:v>
      </x:c>
    </x:row>
    <x:row r="16" ht="39.599998474121094" hidden="0" customHeight="1">
      <x:c r="A16" s="21" t="str">
        <x:v>Rodrigo Gil</x:v>
      </x:c>
      <x:c r="B16" s="21" t="str">
        <x:v>Cirion</x:v>
      </x:c>
      <x:c r="C16" s="36" t="str">
        <x:v>CENT-1243 Monitoreo diario y temas a empujar (30')</x:v>
      </x:c>
      <x:c r="D16" s="21" t="str">
        <x:v>Cirion</x:v>
      </x:c>
      <x:c r="E16" s="21"/>
      <x:c r="F16" s="36" t="str">
        <x:v>Revisando varios temas con Fer y de paso enseñarme una pagina llamado Range para hacer seguimiento diarios de las tareas pendientes</x:v>
      </x:c>
      <x:c r="G16" s="24" t="n">
        <x:v>46258</x:v>
      </x:c>
      <x:c r="H16" s="27" t="n">
        <x:v>0.0625</x:v>
      </x:c>
      <x:c r="I16" s="30" t="n">
        <x:v>1.5</x:v>
      </x:c>
      <x:c r="J16" s="33" t="n">
        <x:v>0.4166666666666667</x:v>
      </x:c>
      <x:c r="K16" s="33" t="n">
        <x:v>0.4791666666666667</x:v>
      </x:c>
    </x:row>
    <x:row r="17" ht="26.399999618530273" hidden="0" customHeight="1">
      <x:c r="A17" s="21" t="str">
        <x:v>Rodrigo Gil</x:v>
      </x:c>
      <x:c r="B17" s="21" t="str">
        <x:v>Cirion</x:v>
      </x:c>
      <x:c r="C17" s="36" t="str">
        <x:v>CENT-1243 Monitoreo diario y temas a empujar (30')</x:v>
      </x:c>
      <x:c r="D17" s="21" t="str">
        <x:v>Cirion</x:v>
      </x:c>
      <x:c r="E17" s="21"/>
      <x:c r="F17" s="36" t="str">
        <x:v>Revisando el Email para ver si hay temas pendientes o nuevos incovenientes para posibles nuevas tareas</x:v>
      </x:c>
      <x:c r="G17" s="24" t="n">
        <x:v>46258</x:v>
      </x:c>
      <x:c r="H17" s="27" t="n">
        <x:v>0.020833333333333332</x:v>
      </x:c>
      <x:c r="I17" s="30" t="n">
        <x:v>0.5</x:v>
      </x:c>
      <x:c r="J17" s="33" t="n">
        <x:v>0.4791666666666667</x:v>
      </x:c>
      <x:c r="K17" s="33" t="n">
        <x:v>0.5</x:v>
      </x:c>
    </x:row>
    <x:row r="18" ht="15" hidden="0" customHeight="1">
      <x:c r="A18" s="21" t="str">
        <x:v>Rodrigo Gil</x:v>
      </x:c>
      <x:c r="B18" s="21" t="str">
        <x:v>Cirion</x:v>
      </x:c>
      <x:c r="C18" s="36" t="str">
        <x:v>CENT-1243 Monitoreo diario y temas a empujar (30')</x:v>
      </x:c>
      <x:c r="D18" s="21" t="str">
        <x:v>Cirion</x:v>
      </x:c>
      <x:c r="E18" s="21"/>
      <x:c r="F18" s="36" t="str">
        <x:v>Creación de Issues para distintas tareas nuevas</x:v>
      </x:c>
      <x:c r="G18" s="24" t="n">
        <x:v>46258</x:v>
      </x:c>
      <x:c r="H18" s="27" t="n">
        <x:v>0.041666666666666664</x:v>
      </x:c>
      <x:c r="I18" s="30" t="n">
        <x:v>1</x:v>
      </x:c>
      <x:c r="J18" s="33" t="n">
        <x:v>0.5208333333333334</x:v>
      </x:c>
      <x:c r="K18" s="33" t="n">
        <x:v>0.5625</x:v>
      </x:c>
    </x:row>
    <x:row r="19" ht="15" hidden="0" customHeight="1">
      <x:c r="A19" s="21" t="str">
        <x:v>Rodrigo Gil</x:v>
      </x:c>
      <x:c r="B19" s="21" t="str">
        <x:v>Cirion</x:v>
      </x:c>
      <x:c r="C19" s="36" t="str">
        <x:v>CENT-1243 Monitoreo diario y temas a empujar (30')</x:v>
      </x:c>
      <x:c r="D19" s="21" t="str">
        <x:v>Cirion</x:v>
      </x:c>
      <x:c r="E19" s="21"/>
      <x:c r="F19" s="36" t="str">
        <x:v>Terminando de crear Issues para las nuevas tareas</x:v>
      </x:c>
      <x:c r="G19" s="24" t="n">
        <x:v>46258</x:v>
      </x:c>
      <x:c r="H19" s="27" t="n">
        <x:v>0.125</x:v>
      </x:c>
      <x:c r="I19" s="30" t="n">
        <x:v>3</x:v>
      </x:c>
      <x:c r="J19" s="33" t="n">
        <x:v>0.5625</x:v>
      </x:c>
      <x:c r="K19" s="33" t="n">
        <x:v>0.6875</x:v>
      </x:c>
    </x:row>
    <x:row r="20" ht="26.399999618530273" hidden="0" customHeight="1">
      <x:c r="A20" s="21" t="str">
        <x:v>Rodrigo Gil</x:v>
      </x:c>
      <x:c r="B20" s="21" t="str">
        <x:v>Cirion</x:v>
      </x:c>
      <x:c r="C20" s="36" t="str">
        <x:v>CENT-1243 Monitoreo diario y temas a empujar (30')</x:v>
      </x:c>
      <x:c r="D20" s="21" t="str">
        <x:v>Cirion</x:v>
      </x:c>
      <x:c r="E20" s="21"/>
      <x:c r="F20" s="36" t="str">
        <x:v>Revisando varios temas con Fer para ver como se hace y empezar a trabajar</x:v>
      </x:c>
      <x:c r="G20" s="24" t="n">
        <x:v>46259</x:v>
      </x:c>
      <x:c r="H20" s="27" t="n">
        <x:v>0.16666666666666666</x:v>
      </x:c>
      <x:c r="I20" s="30" t="n">
        <x:v>4</x:v>
      </x:c>
      <x:c r="J20" s="33" t="n">
        <x:v>0.4166666666666667</x:v>
      </x:c>
      <x:c r="K20" s="33" t="n">
        <x:v>0.5833333333333334</x:v>
      </x:c>
    </x:row>
    <x:row r="21" ht="39.599998474121094" hidden="0" customHeight="1">
      <x:c r="A21" s="21" t="str">
        <x:v>Rodrigo Gil</x:v>
      </x:c>
      <x:c r="B21" s="21" t="str">
        <x:v>Cirion</x:v>
      </x:c>
      <x:c r="C21" s="36" t="str">
        <x:v>CENT-1298 Revisión de usuarios en el Checklist de seguridad</x:v>
      </x:c>
      <x:c r="D21" s="21" t="str">
        <x:v>Cirion</x:v>
      </x:c>
      <x:c r="E21" s="21"/>
      <x:c r="F21" s="36" t="str">
        <x:v>Empezando a hacer y revisar como hacer el query para la revisión de usuarios en el checklist de seguridad basado en otro query que se utilizo para el nuevo backup</x:v>
      </x:c>
      <x:c r="G21" s="24" t="n">
        <x:v>46259</x:v>
      </x:c>
      <x:c r="H21" s="27" t="n">
        <x:v>0.08333333333333333</x:v>
      </x:c>
      <x:c r="I21" s="30" t="n">
        <x:v>2</x:v>
      </x:c>
      <x:c r="J21" s="33" t="n">
        <x:v>0.5833333333333334</x:v>
      </x:c>
      <x:c r="K21" s="33" t="n">
        <x:v>0.6666666666666666</x:v>
      </x:c>
    </x:row>
    <x:row r="22" ht="26.399999618530273" hidden="0" customHeight="1">
      <x:c r="A22" s="21" t="str">
        <x:v>Rodrigo Gil</x:v>
      </x:c>
      <x:c r="B22" s="21" t="str">
        <x:v>Cirion</x:v>
      </x:c>
      <x:c r="C22" s="36" t="str">
        <x:v>CENT-1176 CHK Trazabilidad entre Planilla Instancias + ITOSS + Solman</x:v>
      </x:c>
      <x:c r="D22" s="21" t="str">
        <x:v>Cirion</x:v>
      </x:c>
      <x:c r="E22" s="21"/>
      <x:c r="F22" s="36" t="str">
        <x:v>Reunion con Gus y Rodri Gutierrez para actualizar la planilla</x:v>
      </x:c>
      <x:c r="G22" s="24" t="n">
        <x:v>46262</x:v>
      </x:c>
      <x:c r="H22" s="27" t="n">
        <x:v>0.08333333333333333</x:v>
      </x:c>
      <x:c r="I22" s="30" t="n">
        <x:v>2</x:v>
      </x:c>
      <x:c r="J22" s="33" t="n">
        <x:v>0.3958333333333333</x:v>
      </x:c>
      <x:c r="K22" s="33" t="n">
        <x:v>0.4791666666666667</x:v>
      </x:c>
    </x:row>
    <x:row r="23" ht="26.399999618530273" hidden="0" customHeight="1">
      <x:c r="A23" s="21" t="str">
        <x:v>Rodrigo Gil</x:v>
      </x:c>
      <x:c r="B23" s="21" t="str">
        <x:v>Cirion</x:v>
      </x:c>
      <x:c r="C23" s="36" t="str">
        <x:v>CENT-1298 Revisión de usuarios en el Checklist de seguridad</x:v>
      </x:c>
      <x:c r="D23" s="21" t="str">
        <x:v>Cirion</x:v>
      </x:c>
      <x:c r="E23" s="21"/>
      <x:c r="F23" s="36" t="str">
        <x:v>Reunion con Fer para revisar el query y modificarlo antes de pasarlerlo a Ruben y Alexei</x:v>
      </x:c>
      <x:c r="G23" s="24" t="n">
        <x:v>46265</x:v>
      </x:c>
      <x:c r="H23" s="27" t="n">
        <x:v>0.041666666666666664</x:v>
      </x:c>
      <x:c r="I23" s="30" t="n">
        <x:v>1</x:v>
      </x:c>
      <x:c r="J23" s="33" t="n">
        <x:v>0.4375</x:v>
      </x:c>
      <x:c r="K23" s="33" t="n">
        <x:v>0.4791666666666667</x:v>
      </x:c>
    </x:row>
    <x:row r="24" ht="26.399999618530273" hidden="0" customHeight="1">
      <x:c r="A24" s="21" t="str">
        <x:v>Rodrigo Gil</x:v>
      </x:c>
      <x:c r="B24" s="21" t="str">
        <x:v>Cirion</x:v>
      </x:c>
      <x:c r="C24" s="36" t="str">
        <x:v>CENT-1298 Revisión de usuarios en el Checklist de seguridad</x:v>
      </x:c>
      <x:c r="D24" s="21" t="str">
        <x:v>Cirion</x:v>
      </x:c>
      <x:c r="E24" s="21"/>
      <x:c r="F24" s="36" t="str">
        <x:v>Exportando el archivo para poder enviarserlo por email a Fer, Ruben y Alexei</x:v>
      </x:c>
      <x:c r="G24" s="24" t="n">
        <x:v>46265</x:v>
      </x:c>
      <x:c r="H24" s="27" t="n">
        <x:v>0.041666666666666664</x:v>
      </x:c>
      <x:c r="I24" s="30" t="n">
        <x:v>1</x:v>
      </x:c>
      <x:c r="J24" s="33" t="n">
        <x:v>0.75</x:v>
      </x:c>
      <x:c r="K24" s="33" t="n">
        <x:v>0.7916666666666666</x:v>
      </x:c>
    </x:row>
    <x:row r="25" ht="15" hidden="0" customHeight="1">
      <x:c r="A25" s="22" t="str">
        <x:v>Rodrigo Gil</x:v>
      </x:c>
      <x:c r="B25" s="22" t="str">
        <x:v>Cirion</x:v>
      </x:c>
      <x:c r="C25" s="37" t="str">
        <x:v>CENT-1243 Monitoreo diario y temas a empujar (30')</x:v>
      </x:c>
      <x:c r="D25" s="22" t="str">
        <x:v>Cirion</x:v>
      </x:c>
      <x:c r="E25" s="22"/>
      <x:c r="F25" s="37" t="str">
        <x:v>Chequeando los emails pendientes</x:v>
      </x:c>
      <x:c r="G25" s="25" t="n">
        <x:v>46265</x:v>
      </x:c>
      <x:c r="H25" s="28" t="n">
        <x:v>0.020833333333333332</x:v>
      </x:c>
      <x:c r="I25" s="31" t="n">
        <x:v>0.5</x:v>
      </x:c>
      <x:c r="J25" s="34" t="n">
        <x:v>0.8333333333333334</x:v>
      </x:c>
      <x:c r="K25" s="34" t="n">
        <x:v>0.8541666666666666</x:v>
      </x:c>
    </x:row>
  </x:sheetData>
  <x:mergeCells>
    <x:mergeCell ref="A1:K1"/>
    <x:mergeCell ref="A2:H2"/>
    <x:mergeCell ref="I2:J2"/>
  </x:mergeCells>
  <x:pageMargins left="0.7" right="0.7" top="0.75" bottom="0.75" header="0.3" footer="0.3"/>
  <x:tableParts count="1">
    <x:tablePart xmlns:r="http://schemas.openxmlformats.org/officeDocument/2006/relationships" r:id="R257f617fa03740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52" hidden="0" customWidth="1"/>
    <x:col min="4" max="4" width="15" hidden="0" customWidth="1"/>
    <x:col min="5" max="5" width="15" hidden="0" customWidth="1"/>
    <x:col min="6" max="6" width="4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8" customHeight="1">
      <x:c r="A1" s="4" t="str">
        <x:v>Horas de Rodrigo Gil - Mirgor - Agosto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Detalle de horas informadas por cliente</x:v>
      </x:c>
      <x:c r="B2" s="7"/>
      <x:c r="C2" s="7"/>
      <x:c r="D2" s="7"/>
      <x:c r="E2" s="7"/>
      <x:c r="F2" s="7"/>
      <x:c r="G2" s="7"/>
      <x:c r="H2" s="7"/>
      <x:c r="I2" s="7" t="str">
        <x:v>Total de horas</x:v>
      </x:c>
      <x:c r="J2" s="7"/>
      <x:c r="K2" s="10" t="n">
        <x:f>SUM(I4:I4)</x:f>
        <x:v>1</x:v>
      </x:c>
    </x:row>
    <x:row r="3">
      <x:c r="A3" s="15" t="str">
        <x:v>Usuario</x:v>
      </x:c>
      <x:c r="B3" s="15" t="str">
        <x:v>Proyecto</x:v>
      </x:c>
      <x:c r="C3" s="15" t="str">
        <x:v>Tarea</x:v>
      </x:c>
      <x:c r="D3" s="15" t="str">
        <x:v>Cliente</x:v>
      </x:c>
      <x:c r="E3" s="15" t="str">
        <x:v>Servicio</x:v>
      </x:c>
      <x:c r="F3" s="15" t="str">
        <x:v>Notas</x:v>
      </x:c>
      <x:c r="G3" s="15" t="str">
        <x:v>Fecha</x:v>
      </x:c>
      <x:c r="H3" s="15" t="str">
        <x:v>Duración</x:v>
      </x:c>
      <x:c r="I3" s="15" t="str">
        <x:v>Horas</x:v>
      </x:c>
      <x:c r="J3" s="15" t="str">
        <x:v>Desde</x:v>
      </x:c>
      <x:c r="K3" s="15" t="str">
        <x:v>Hasta</x:v>
      </x:c>
    </x:row>
    <x:row r="4" ht="30" hidden="0" customHeight="1">
      <x:c r="A4" s="38" t="str">
        <x:v>Rodrigo Gil</x:v>
      </x:c>
      <x:c r="B4" s="38" t="str">
        <x:v>Mirgor</x:v>
      </x:c>
      <x:c r="C4" s="43" t="str">
        <x:v>BICOMRET-863 Reporte Ventas Mayoristas</x:v>
      </x:c>
      <x:c r="D4" s="38" t="str">
        <x:v>Mirgor</x:v>
      </x:c>
      <x:c r="E4" s="38"/>
      <x:c r="F4" s="43" t="str">
        <x:v>Revisando temas
</x:v>
      </x:c>
      <x:c r="G4" s="39" t="n">
        <x:v>46237</x:v>
      </x:c>
      <x:c r="H4" s="40" t="n">
        <x:v>0.041666666666666664</x:v>
      </x:c>
      <x:c r="I4" s="41" t="n">
        <x:v>1</x:v>
      </x:c>
      <x:c r="J4" s="42" t="n">
        <x:v>0.6875</x:v>
      </x:c>
      <x:c r="K4" s="42" t="n">
        <x:v>0.7291666666666666</x:v>
      </x:c>
    </x:row>
  </x:sheetData>
  <x:mergeCells>
    <x:mergeCell ref="A1:K1"/>
    <x:mergeCell ref="A2:H2"/>
    <x:mergeCell ref="I2:J2"/>
  </x:mergeCells>
  <x:pageMargins left="0.7" right="0.7" top="0.75" bottom="0.75" header="0.3" footer="0.3"/>
  <x:tableParts count="1">
    <x:tablePart xmlns:r="http://schemas.openxmlformats.org/officeDocument/2006/relationships" r:id="R3dc782f8c09d4690"/>
  </x:tableParts>
</x:worksheet>
</file>